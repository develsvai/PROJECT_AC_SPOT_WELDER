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/>
  <workbookPr codeName="ThisWorkbook"/>
  <mc:AlternateContent xmlns:mc="http://schemas.openxmlformats.org/markup-compatibility/2006">
    <mc:Choice Requires="x15">
      <x15ac:absPath xmlns:x15ac="http://schemas.microsoft.com/office/spreadsheetml/2010/11/ac" url="/Users/yongjaehong/Desktop/"/>
    </mc:Choice>
  </mc:AlternateContent>
  <xr:revisionPtr revIDLastSave="0" documentId="8_{98417607-A2A9-2243-90F8-71DFFD07382F}" xr6:coauthVersionLast="47" xr6:coauthVersionMax="47" xr10:uidLastSave="{00000000-0000-0000-0000-000000000000}"/>
  <bookViews>
    <workbookView xWindow="0" yWindow="740" windowWidth="28540" windowHeight="11820" tabRatio="50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5" i="1" l="1"/>
  <c r="F25" i="1"/>
  <c r="D25" i="1"/>
  <c r="B25" i="1"/>
  <c r="K24" i="1"/>
  <c r="F24" i="1"/>
  <c r="H24" i="1" s="1"/>
  <c r="K23" i="1"/>
  <c r="F23" i="1"/>
  <c r="H23" i="1" s="1"/>
  <c r="K22" i="1"/>
  <c r="H22" i="1"/>
  <c r="F22" i="1"/>
  <c r="K21" i="1"/>
  <c r="F21" i="1"/>
  <c r="H21" i="1" s="1"/>
  <c r="K20" i="1"/>
  <c r="F20" i="1"/>
  <c r="H20" i="1" s="1"/>
  <c r="K19" i="1"/>
  <c r="H19" i="1"/>
  <c r="F19" i="1"/>
  <c r="K18" i="1"/>
  <c r="F18" i="1"/>
  <c r="H18" i="1" s="1"/>
  <c r="K17" i="1"/>
  <c r="F17" i="1"/>
  <c r="H17" i="1" s="1"/>
  <c r="K16" i="1"/>
  <c r="H16" i="1"/>
  <c r="F16" i="1"/>
  <c r="K15" i="1"/>
  <c r="F15" i="1"/>
  <c r="H15" i="1" s="1"/>
  <c r="K14" i="1"/>
  <c r="H14" i="1"/>
  <c r="F14" i="1"/>
  <c r="K13" i="1"/>
  <c r="F13" i="1"/>
  <c r="H13" i="1" s="1"/>
  <c r="K12" i="1"/>
  <c r="F12" i="1"/>
  <c r="H12" i="1" s="1"/>
  <c r="K11" i="1"/>
  <c r="F11" i="1"/>
  <c r="H11" i="1" s="1"/>
  <c r="K10" i="1"/>
  <c r="F10" i="1"/>
  <c r="H10" i="1" s="1"/>
  <c r="K9" i="1"/>
  <c r="F9" i="1"/>
  <c r="H9" i="1" s="1"/>
  <c r="K8" i="1"/>
  <c r="H8" i="1"/>
  <c r="F8" i="1"/>
  <c r="K7" i="1"/>
  <c r="F7" i="1"/>
  <c r="H7" i="1" s="1"/>
  <c r="K6" i="1"/>
  <c r="H6" i="1"/>
  <c r="F6" i="1"/>
  <c r="K5" i="1"/>
  <c r="F5" i="1"/>
  <c r="H5" i="1" s="1"/>
  <c r="K4" i="1"/>
  <c r="F4" i="1"/>
  <c r="H4" i="1" s="1"/>
  <c r="K3" i="1"/>
  <c r="H3" i="1"/>
  <c r="F3" i="1"/>
  <c r="H25" i="1" l="1"/>
</calcChain>
</file>

<file path=xl/sharedStrings.xml><?xml version="1.0" encoding="utf-8"?>
<sst xmlns="http://schemas.openxmlformats.org/spreadsheetml/2006/main" count="219" uniqueCount="77">
  <si>
    <t>https://lcsc.com/product-detail/Metal-Film-Resistor-TH_UNI-ROYAL-Uniroyal-Elec-MFR01SF1001A10_C58688.html</t>
  </si>
  <si>
    <t>https://lcsc.com/product-detail/Aluminum-Electrolytic-Capacitors-Leaded_CX-Dongguan-Chengxing-Elec-C43823_C43823.html</t>
  </si>
  <si>
    <t>https://lcsc.com/product-detail/Metal-Film-Resistor-TH_YAGEO-MFR-25JT-52-220R_C176478.html</t>
  </si>
  <si>
    <t>https://lcsc.com/product-detail/Mylar-Capacitor_NISSEI-MMCV0630K104C000D210_C359278.html</t>
  </si>
  <si>
    <t>https://lcsc.com/product-detail/Metal-Film-Resistor-TH_YAGEO-MFR-25FTE52-4K7_C173023.html</t>
  </si>
  <si>
    <t>https://lcsc.com/product-detail/Power-Module-AC-DC_HI-LINK-HLK-PM01_C209903.html</t>
  </si>
  <si>
    <t>https://lcsc.com/product-detail/Tactile-Switches_C-K-PTS645SM502LFS_C285490.html</t>
  </si>
  <si>
    <t>https://lcsc.com/product-detail/ATMEL-AVR_Microchip-Tech-ATMEGA16A-PU_C30504.html</t>
  </si>
  <si>
    <t>https://lcsc.com/product-detail/Barrier-Terminal-Blocks_Ningbo-Kangnex-Elec-HB9500-9-5-4P_C72338.html</t>
  </si>
  <si>
    <t>https://smartstore.naver.com/ic11401/products/560078694?NaPm=ct%3Dk0uqrc4j%7Cci%3Dcheckout%7Ctr%3Dppc%7Ctrx%3D%7Chk%3Ddf9b4b6f9ed3ed94b216be99e01a828ef61e5697</t>
  </si>
  <si>
    <t>https://lcsc.com/product-detail/Metal-Film-Resistor-TH_CCO-Chian-Chia-Elec-MF1-4W-10K%CE%A9-1-T52_C119347.html</t>
  </si>
  <si>
    <t>tack switch</t>
  </si>
  <si>
    <t>HLK-PM01</t>
  </si>
  <si>
    <t>atmega16</t>
  </si>
  <si>
    <t>AC TRIAC</t>
  </si>
  <si>
    <t>ic soket</t>
  </si>
  <si>
    <t>resistor</t>
  </si>
  <si>
    <t>conveter</t>
  </si>
  <si>
    <t>https://lcsc.com/product-detail/Triac-Optocouplers_ON-Semiconductor-MOC3021M_C5242.html</t>
  </si>
  <si>
    <t>https://lcsc.com/product-detail/IC-Sockets_Ckmtw-Shenzhen-Cankemeng-ICS-6P_C146584.html</t>
  </si>
  <si>
    <t>https://lcsc.com/product-detail/IC-Sockets_BOOMELE-Boom-Precision-Elec-C2332_C2332.html</t>
  </si>
  <si>
    <t>https://lcsc.com/product-detail/Metal-Film-Resistor-TH_TyoHM-RN1WS100%CE%A9FT-BA1_C385268.html</t>
  </si>
  <si>
    <t>https://lcsc.com/product-detail/Optocouplers_Sharp-Microelectronics-PC814X1CSZ9F_C194288.html</t>
  </si>
  <si>
    <t>https://lcsc.com/product-detail/Thyristors-TRIACs_STMicroelectronics-BTA41-600BRG_C9103.html</t>
  </si>
  <si>
    <t>https://lcsc.com/product-detail/SMD-Crystal-Resonators_Yangxing-Tech-X49SM16MSD2SC_C12676.html</t>
  </si>
  <si>
    <t>https://lcsc.com/product-detail/Ceramic-Disc-Capacitors_Dersonic-CC1H200KA1PDCH4B3003_C353911.html</t>
  </si>
  <si>
    <t>TWI CLCD</t>
  </si>
  <si>
    <t>electrolytic condenser</t>
  </si>
  <si>
    <t>electrolytic capacitor</t>
  </si>
  <si>
    <t>rotary encoder</t>
  </si>
  <si>
    <t>photo coupler</t>
  </si>
  <si>
    <t>달러 &amp; 원화(1개당)</t>
  </si>
  <si>
    <t>mylar capacitor</t>
  </si>
  <si>
    <t>협신전자</t>
  </si>
  <si>
    <t>16Mhz</t>
  </si>
  <si>
    <t xml:space="preserve">부품 내역 </t>
  </si>
  <si>
    <t>DIP40</t>
  </si>
  <si>
    <t>LCSC</t>
  </si>
  <si>
    <t>4.7K</t>
  </si>
  <si>
    <t>470uf</t>
  </si>
  <si>
    <t>12c LCD</t>
  </si>
  <si>
    <t>20pf</t>
  </si>
  <si>
    <t>BTA416B</t>
  </si>
  <si>
    <t>10uf</t>
  </si>
  <si>
    <t>HB9500</t>
  </si>
  <si>
    <t>AC -&gt;DC</t>
  </si>
  <si>
    <t>DIP6</t>
  </si>
  <si>
    <t>1/4W</t>
  </si>
  <si>
    <t>총가격(원화)</t>
  </si>
  <si>
    <t>moc3021</t>
  </si>
  <si>
    <t>기타 설명</t>
  </si>
  <si>
    <t>Rotary</t>
  </si>
  <si>
    <t>crystal</t>
  </si>
  <si>
    <t>메카솔루션</t>
  </si>
  <si>
    <t>총가격(달러)</t>
  </si>
  <si>
    <t>1102A</t>
  </si>
  <si>
    <t>사이트주소</t>
  </si>
  <si>
    <t>pc814</t>
  </si>
  <si>
    <t>16MHZ</t>
  </si>
  <si>
    <t>0.1uf</t>
  </si>
  <si>
    <t>barrier terminal</t>
  </si>
  <si>
    <t>ceramic capasitor</t>
  </si>
  <si>
    <t>AVR</t>
  </si>
  <si>
    <t>구입처</t>
  </si>
  <si>
    <t>1K</t>
  </si>
  <si>
    <t>이름</t>
  </si>
  <si>
    <t>2W</t>
  </si>
  <si>
    <t>10K</t>
  </si>
  <si>
    <t>원</t>
  </si>
  <si>
    <t>개</t>
  </si>
  <si>
    <t>mcu</t>
  </si>
  <si>
    <t xml:space="preserve">개수 </t>
  </si>
  <si>
    <t>91K</t>
  </si>
  <si>
    <t>1W</t>
  </si>
  <si>
    <t>달러</t>
  </si>
  <si>
    <t>총</t>
  </si>
  <si>
    <t>http://mechasolution.com/shop/goods/goods_view.php?inflow=naverCheckout&amp;goodsno=575845&amp;NaPm=ct%3Dk0uqptmt%7Cci%3Dcheckout%7Ctr%3Dppc%7Ctrx%3D%7Chk%3Dcc1ba4b3d84e7834af73c96ed875bbc605a3c3fe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</si>
</sst>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>
    <font>
      <sz val="11"/>
      <color rgb="FF000000"/>
      <name val="맑은 고딕"/>
    </font>
    <font>
      <u/>
      <sz val="11"/>
      <color rgb="FF0000FF"/>
      <name val="맑은 고딕"/>
      <family val="2"/>
      <charset val="129"/>
    </font>
    <font>
      <sz val="8"/>
      <name val="나눔명조"/>
      <family val="3"/>
      <charset val="129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>
      <alignment vertical="center"/>
    </xf>
    <xf numFmtId="0" fontId="1" fillId="0" borderId="0" xfId="0" applyFo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</cellXfs>
  <cellStyles count="1">
    <cellStyle name="표준" xfId="0" builtinId="0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Normal Style 1 - Accent 1" defaultPivotStyle="Light Style 1 - Accent 1">
    <tableStyle name="Normal Style 1 - Accent 1" pivot="0" count="9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8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>
  <a:themeElements>
    <a:clrScheme name="">
      <a:dk1>
        <a:sysClr val="windowText" lastClr="000000"/>
      </a:dk1>
      <a:lt1>
        <a:sysClr val="window" lastClr="FFFFFF"/>
      </a:lt1>
      <a:dk2>
        <a:srgbClr val="3A3C84"/>
      </a:dk2>
      <a:lt2>
        <a:srgbClr val="FAF3DB"/>
      </a:lt2>
      <a:accent1>
        <a:srgbClr val="6182D6"/>
      </a:accent1>
      <a:accent2>
        <a:srgbClr val="FF843A"/>
      </a:accent2>
      <a:accent3>
        <a:srgbClr val="B2B2B2"/>
      </a:accent3>
      <a:accent4>
        <a:srgbClr val="FFD700"/>
      </a:accent4>
      <a:accent5>
        <a:srgbClr val="289B6E"/>
      </a:accent5>
      <a:accent6>
        <a:srgbClr val="9D5CBB"/>
      </a:accent6>
      <a:hlink>
        <a:srgbClr val="0000FF"/>
      </a:hlink>
      <a:folHlink>
        <a:srgbClr val="800080"/>
      </a:folHlink>
    </a:clrScheme>
    <a:fontScheme name="">
      <a:majorFont>
        <a:latin typeface="맑은 고딕"/>
        <a:ea typeface="맑은 고딕"/>
        <a:cs typeface=""/>
      </a:majorFont>
      <a:minorFont>
        <a:latin typeface="맑은 고딕"/>
        <a:ea typeface="맑은 고딕"/>
        <a:cs typeface=""/>
      </a:minorFont>
    </a:fontScheme>
    <a:fmtScheme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45398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635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reflection blurRad="12700" stA="26000" endPos="28000" dist="38100" dir="5400000" sy="-100000" rotWithShape="0"/>
          </a:effectLst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2">
          <a:schemeClr val="accent1">
            <a:shade val="20000"/>
          </a:schemeClr>
        </a:lnRef>
        <a:fillRef idx="1">
          <a:schemeClr val="accent1"/>
        </a:fillRef>
        <a:effectRef idx="0">
          <a:schemeClr val="accent1"/>
        </a:effectRef>
        <a:fontRef idx="minor">
          <a:prstClr val="black"/>
        </a:fontRef>
      </a:style>
    </a:spDef>
    <a:lnDef>
      <a:spPr/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/>
      <a:bodyPr/>
      <a:lstStyle/>
    </a:tx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lcsc.com/product-detail/Metal-Film-Resistor-TH_YAGEO-MFR-25FTE52-4K7_C173023.html" TargetMode="External"/><Relationship Id="rId13" Type="http://schemas.openxmlformats.org/officeDocument/2006/relationships/hyperlink" Target="https://lcsc.com/product-detail/Power-Module-AC-DC_HI-LINK-HLK-PM01_C209903.html" TargetMode="External"/><Relationship Id="rId18" Type="http://schemas.openxmlformats.org/officeDocument/2006/relationships/hyperlink" Target="https://lcsc.com/product-detail/Thyristors-TRIACs_STMicroelectronics-BTA41-600BRG_C9103.html" TargetMode="External"/><Relationship Id="rId3" Type="http://schemas.openxmlformats.org/officeDocument/2006/relationships/hyperlink" Target="https://lcsc.com/product-detail/Optocouplers_Sharp-Microelectronics-PC814X1CSZ9F_C194288.html" TargetMode="External"/><Relationship Id="rId7" Type="http://schemas.openxmlformats.org/officeDocument/2006/relationships/hyperlink" Target="https://lcsc.com/product-detail/Barrier-Terminal-Blocks_Ningbo-Kangnex-Elec-HB9500-9-5-4P_C72338.html" TargetMode="External"/><Relationship Id="rId12" Type="http://schemas.openxmlformats.org/officeDocument/2006/relationships/hyperlink" Target="https://lcsc.com/product-detail/Metal-Film-Resistor-TH_TyoHM-RN1WS100%CE%A9FT-BA1_C385268.html" TargetMode="External"/><Relationship Id="rId17" Type="http://schemas.openxmlformats.org/officeDocument/2006/relationships/hyperlink" Target="https://lcsc.com/product-detail/Tactile-Switches_C-K-PTS645SM502LFS_C285490.html" TargetMode="External"/><Relationship Id="rId2" Type="http://schemas.openxmlformats.org/officeDocument/2006/relationships/hyperlink" Target="https://lcsc.com/product-detail/Triac-Optocouplers_ON-Semiconductor-MOC3021M_C5242.html" TargetMode="External"/><Relationship Id="rId16" Type="http://schemas.openxmlformats.org/officeDocument/2006/relationships/hyperlink" Target="https://lcsc.com/product-detail/Ceramic-Disc-Capacitors_Dersonic-CC1H200KA1PDCH4B3003_C353911.html" TargetMode="External"/><Relationship Id="rId20" Type="http://schemas.openxmlformats.org/officeDocument/2006/relationships/hyperlink" Target="https://smartstore.naver.com/ic11401/products/560078694?NaPm=ct%3Dk0uqrc4j%7Cci%3Dcheckout%7Ctr%3Dppc%7Ctrx%3D%7Chk%3Ddf9b4b6f9ed3ed94b216be99e01a828ef61e5697" TargetMode="External"/><Relationship Id="rId1" Type="http://schemas.openxmlformats.org/officeDocument/2006/relationships/hyperlink" Target="https://lcsc.com/product-detail/ATMEL-AVR_Microchip-Tech-ATMEGA16A-PU_C30504.html" TargetMode="External"/><Relationship Id="rId6" Type="http://schemas.openxmlformats.org/officeDocument/2006/relationships/hyperlink" Target="https://lcsc.com/product-detail/Aluminum-Electrolytic-Capacitors-Leaded_CX-Dongguan-Chengxing-Elec-C43823_C43823.html" TargetMode="External"/><Relationship Id="rId11" Type="http://schemas.openxmlformats.org/officeDocument/2006/relationships/hyperlink" Target="https://lcsc.com/product-detail/Metal-Film-Resistor-TH_UNI-ROYAL-Uniroyal-Elec-MFR01SF1001A10_C58688.html" TargetMode="External"/><Relationship Id="rId5" Type="http://schemas.openxmlformats.org/officeDocument/2006/relationships/hyperlink" Target="https://lcsc.com/product-detail/Mylar-Capacitor_NISSEI-MMCV0630K104C000D210_C359278.html" TargetMode="External"/><Relationship Id="rId15" Type="http://schemas.openxmlformats.org/officeDocument/2006/relationships/hyperlink" Target="https://lcsc.com/product-detail/IC-Sockets_BOOMELE-Boom-Precision-Elec-C2332_C2332.html" TargetMode="External"/><Relationship Id="rId10" Type="http://schemas.openxmlformats.org/officeDocument/2006/relationships/hyperlink" Target="https://lcsc.com/product-detail/Metal-Film-Resistor-TH_CCO-Chian-Chia-Elec-MF1-4W-10K%CE%A9-1-T52_C119347.html" TargetMode="External"/><Relationship Id="rId19" Type="http://schemas.openxmlformats.org/officeDocument/2006/relationships/hyperlink" Target="http://mechasolution.com/shop/goods/goods_view.php?inflow=naverCheckout&amp;goodsno=575845&amp;NaPm=ct%3Dk0uqptmt%7Cci%3Dcheckout%7Ctr%3Dppc%7Ctrx%3D%7Chk%3Dcc1ba4b3d84e7834af73c96ed875bbc605a3c3fe" TargetMode="External"/><Relationship Id="rId4" Type="http://schemas.openxmlformats.org/officeDocument/2006/relationships/hyperlink" Target="https://lcsc.com/product-detail/SMD-Crystal-Resonators_Yangxing-Tech-X49SM16MSD2SC_C12676.html" TargetMode="External"/><Relationship Id="rId9" Type="http://schemas.openxmlformats.org/officeDocument/2006/relationships/hyperlink" Target="https://lcsc.com/product-detail/Metal-Film-Resistor-TH_YAGEO-MFR-25JT-52-220R_C176478.html" TargetMode="External"/><Relationship Id="rId14" Type="http://schemas.openxmlformats.org/officeDocument/2006/relationships/hyperlink" Target="https://lcsc.com/product-detail/IC-Sockets_Ckmtw-Shenzhen-Cankemeng-ICS-6P_C146584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5"/>
  <sheetViews>
    <sheetView tabSelected="1" zoomScaleNormal="100" zoomScaleSheetLayoutView="75" workbookViewId="0">
      <selection activeCell="B6" sqref="B6"/>
    </sheetView>
  </sheetViews>
  <sheetFormatPr baseColWidth="10" defaultColWidth="9" defaultRowHeight="17"/>
  <cols>
    <col min="1" max="9" width="9" customWidth="1"/>
    <col min="10" max="10" width="11.5" bestFit="1" customWidth="1"/>
    <col min="11" max="28" width="11.5" customWidth="1"/>
  </cols>
  <sheetData>
    <row r="1" spans="1:22">
      <c r="A1" s="6" t="s">
        <v>35</v>
      </c>
      <c r="B1" s="6"/>
      <c r="C1" s="6"/>
      <c r="D1" s="6" t="s">
        <v>31</v>
      </c>
      <c r="E1" s="6"/>
      <c r="F1" s="6"/>
      <c r="G1" s="6"/>
      <c r="H1" s="6" t="s">
        <v>48</v>
      </c>
      <c r="I1" s="6"/>
      <c r="J1" s="6"/>
      <c r="K1" s="6" t="s">
        <v>54</v>
      </c>
      <c r="L1" s="6"/>
      <c r="M1" s="6"/>
      <c r="N1" s="6" t="s">
        <v>50</v>
      </c>
      <c r="O1" s="6"/>
      <c r="P1" s="6" t="s">
        <v>63</v>
      </c>
      <c r="Q1" s="6"/>
      <c r="R1" s="6" t="s">
        <v>56</v>
      </c>
      <c r="S1" s="6"/>
      <c r="T1" s="1"/>
      <c r="U1" s="1"/>
      <c r="V1" s="1"/>
    </row>
    <row r="2" spans="1:22">
      <c r="A2" t="s">
        <v>65</v>
      </c>
      <c r="B2" t="s">
        <v>71</v>
      </c>
      <c r="C2" t="s">
        <v>69</v>
      </c>
      <c r="D2" s="1">
        <v>1</v>
      </c>
      <c r="E2" s="1" t="s">
        <v>74</v>
      </c>
      <c r="F2" s="1">
        <v>1102</v>
      </c>
      <c r="G2" s="1" t="s">
        <v>68</v>
      </c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</row>
    <row r="3" spans="1:22">
      <c r="A3" t="s">
        <v>13</v>
      </c>
      <c r="B3">
        <v>25</v>
      </c>
      <c r="C3" t="s">
        <v>69</v>
      </c>
      <c r="D3">
        <v>3.3755000000000002</v>
      </c>
      <c r="E3" s="1" t="s">
        <v>74</v>
      </c>
      <c r="F3">
        <f>D3*F2</f>
        <v>3719.8010000000004</v>
      </c>
      <c r="G3" s="1" t="s">
        <v>68</v>
      </c>
      <c r="H3" s="3">
        <f>B3*F3</f>
        <v>92995.025000000009</v>
      </c>
      <c r="I3" s="3"/>
      <c r="J3" t="s">
        <v>68</v>
      </c>
      <c r="K3" s="3">
        <f>D3*B3</f>
        <v>84.387500000000003</v>
      </c>
      <c r="L3" s="3"/>
      <c r="M3" t="s">
        <v>74</v>
      </c>
      <c r="N3" t="s">
        <v>70</v>
      </c>
      <c r="O3" t="s">
        <v>62</v>
      </c>
      <c r="P3" t="s">
        <v>37</v>
      </c>
      <c r="R3" s="4" t="s">
        <v>7</v>
      </c>
      <c r="S3" s="4"/>
    </row>
    <row r="4" spans="1:22">
      <c r="A4" t="s">
        <v>49</v>
      </c>
      <c r="B4">
        <v>50</v>
      </c>
      <c r="C4" t="s">
        <v>69</v>
      </c>
      <c r="D4">
        <v>0.2382</v>
      </c>
      <c r="E4" s="1" t="s">
        <v>74</v>
      </c>
      <c r="F4">
        <f>D4*F2</f>
        <v>262.49639999999999</v>
      </c>
      <c r="G4" s="1" t="s">
        <v>68</v>
      </c>
      <c r="H4" s="3">
        <f>B4*F4</f>
        <v>13124.82</v>
      </c>
      <c r="I4" s="3"/>
      <c r="J4" t="s">
        <v>68</v>
      </c>
      <c r="K4" s="3">
        <f t="shared" ref="K4:K24" si="0">D4*B4</f>
        <v>11.91</v>
      </c>
      <c r="L4" s="3"/>
      <c r="M4" t="s">
        <v>74</v>
      </c>
      <c r="N4" s="3" t="s">
        <v>30</v>
      </c>
      <c r="O4" s="3"/>
      <c r="P4" t="s">
        <v>37</v>
      </c>
      <c r="R4" s="4" t="s">
        <v>18</v>
      </c>
      <c r="S4" s="4"/>
    </row>
    <row r="5" spans="1:22">
      <c r="A5" t="s">
        <v>57</v>
      </c>
      <c r="B5">
        <v>40</v>
      </c>
      <c r="C5" t="s">
        <v>69</v>
      </c>
      <c r="D5">
        <v>0.1077</v>
      </c>
      <c r="E5" s="1" t="s">
        <v>74</v>
      </c>
      <c r="F5">
        <f>D5*F2</f>
        <v>118.6854</v>
      </c>
      <c r="G5" s="1" t="s">
        <v>68</v>
      </c>
      <c r="H5" s="3">
        <f t="shared" ref="H5:H24" si="1">B5*F5</f>
        <v>4747.4160000000002</v>
      </c>
      <c r="I5" s="3"/>
      <c r="J5" t="s">
        <v>68</v>
      </c>
      <c r="K5" s="3">
        <f t="shared" si="0"/>
        <v>4.3079999999999998</v>
      </c>
      <c r="L5" s="3"/>
      <c r="M5" t="s">
        <v>74</v>
      </c>
      <c r="N5" s="3" t="s">
        <v>30</v>
      </c>
      <c r="O5" s="3"/>
      <c r="P5" t="s">
        <v>37</v>
      </c>
      <c r="R5" s="4" t="s">
        <v>22</v>
      </c>
      <c r="S5" s="4"/>
    </row>
    <row r="6" spans="1:22">
      <c r="A6" t="s">
        <v>34</v>
      </c>
      <c r="B6">
        <v>30</v>
      </c>
      <c r="C6" t="s">
        <v>69</v>
      </c>
      <c r="D6">
        <v>0.1169</v>
      </c>
      <c r="E6" s="1" t="s">
        <v>74</v>
      </c>
      <c r="F6">
        <f>D6*F2</f>
        <v>128.82380000000001</v>
      </c>
      <c r="G6" s="1" t="s">
        <v>68</v>
      </c>
      <c r="H6" s="3">
        <f t="shared" si="1"/>
        <v>3864.7139999999999</v>
      </c>
      <c r="I6" s="3"/>
      <c r="J6" t="s">
        <v>68</v>
      </c>
      <c r="K6" s="3">
        <f t="shared" si="0"/>
        <v>3.5070000000000001</v>
      </c>
      <c r="L6" s="3"/>
      <c r="M6" t="s">
        <v>74</v>
      </c>
      <c r="N6" t="s">
        <v>52</v>
      </c>
      <c r="O6" t="s">
        <v>58</v>
      </c>
      <c r="P6" t="s">
        <v>37</v>
      </c>
      <c r="R6" s="4" t="s">
        <v>24</v>
      </c>
      <c r="S6" s="4"/>
    </row>
    <row r="7" spans="1:22">
      <c r="A7" t="s">
        <v>59</v>
      </c>
      <c r="B7">
        <v>50</v>
      </c>
      <c r="C7" t="s">
        <v>69</v>
      </c>
      <c r="D7">
        <v>0.1452</v>
      </c>
      <c r="E7" s="1" t="s">
        <v>74</v>
      </c>
      <c r="F7">
        <f>D7*F2</f>
        <v>160.0104</v>
      </c>
      <c r="G7" s="1" t="s">
        <v>68</v>
      </c>
      <c r="H7" s="3">
        <f t="shared" si="1"/>
        <v>8000.52</v>
      </c>
      <c r="I7" s="3"/>
      <c r="J7" t="s">
        <v>68</v>
      </c>
      <c r="K7" s="3">
        <f t="shared" si="0"/>
        <v>7.26</v>
      </c>
      <c r="L7" s="3"/>
      <c r="M7" t="s">
        <v>74</v>
      </c>
      <c r="N7" s="3" t="s">
        <v>32</v>
      </c>
      <c r="O7" s="3"/>
      <c r="P7" t="s">
        <v>37</v>
      </c>
      <c r="R7" s="4" t="s">
        <v>3</v>
      </c>
      <c r="S7" s="4"/>
    </row>
    <row r="8" spans="1:22">
      <c r="A8" t="s">
        <v>39</v>
      </c>
      <c r="B8">
        <v>60</v>
      </c>
      <c r="C8" t="s">
        <v>69</v>
      </c>
      <c r="D8">
        <v>3.2099999999999997E-2</v>
      </c>
      <c r="E8" s="1" t="s">
        <v>74</v>
      </c>
      <c r="F8">
        <f>D8*F2</f>
        <v>35.374199999999995</v>
      </c>
      <c r="G8" s="1" t="s">
        <v>68</v>
      </c>
      <c r="H8" s="3">
        <f t="shared" si="1"/>
        <v>2122.4519999999998</v>
      </c>
      <c r="I8" s="3"/>
      <c r="J8" t="s">
        <v>68</v>
      </c>
      <c r="K8" s="3">
        <f t="shared" si="0"/>
        <v>1.9259999999999997</v>
      </c>
      <c r="L8" s="3"/>
      <c r="M8" t="s">
        <v>74</v>
      </c>
      <c r="N8" s="3" t="s">
        <v>28</v>
      </c>
      <c r="O8" s="3" t="s">
        <v>27</v>
      </c>
      <c r="R8" s="4" t="s">
        <v>1</v>
      </c>
      <c r="S8" s="4"/>
    </row>
    <row r="9" spans="1:22">
      <c r="A9" t="s">
        <v>43</v>
      </c>
      <c r="B9">
        <v>50</v>
      </c>
      <c r="C9" t="s">
        <v>69</v>
      </c>
      <c r="D9">
        <v>0</v>
      </c>
      <c r="E9" s="1" t="s">
        <v>74</v>
      </c>
      <c r="F9">
        <f>D9*F2</f>
        <v>0</v>
      </c>
      <c r="G9" s="1" t="s">
        <v>68</v>
      </c>
      <c r="H9" s="3">
        <f t="shared" si="1"/>
        <v>0</v>
      </c>
      <c r="I9" s="3"/>
      <c r="J9" t="s">
        <v>68</v>
      </c>
      <c r="K9" s="3">
        <f>D9*B9</f>
        <v>0</v>
      </c>
      <c r="L9" s="3"/>
      <c r="M9" t="s">
        <v>74</v>
      </c>
      <c r="N9" s="3" t="s">
        <v>28</v>
      </c>
      <c r="O9" s="3"/>
      <c r="R9" s="3"/>
      <c r="S9" s="3"/>
    </row>
    <row r="10" spans="1:22">
      <c r="A10" t="s">
        <v>44</v>
      </c>
      <c r="B10">
        <v>25</v>
      </c>
      <c r="C10" t="s">
        <v>69</v>
      </c>
      <c r="D10">
        <v>0.12</v>
      </c>
      <c r="E10" s="1" t="s">
        <v>74</v>
      </c>
      <c r="F10">
        <f>D10*F2</f>
        <v>132.24</v>
      </c>
      <c r="G10" s="1" t="s">
        <v>68</v>
      </c>
      <c r="H10" s="3">
        <f t="shared" si="1"/>
        <v>3306</v>
      </c>
      <c r="I10" s="3"/>
      <c r="J10" t="s">
        <v>68</v>
      </c>
      <c r="K10" s="3">
        <f t="shared" si="0"/>
        <v>3</v>
      </c>
      <c r="L10" s="3"/>
      <c r="M10" t="s">
        <v>74</v>
      </c>
      <c r="N10" s="3" t="s">
        <v>60</v>
      </c>
      <c r="O10" s="3"/>
      <c r="P10" t="s">
        <v>37</v>
      </c>
      <c r="R10" s="4" t="s">
        <v>8</v>
      </c>
      <c r="S10" s="4"/>
    </row>
    <row r="11" spans="1:22">
      <c r="A11" t="s">
        <v>38</v>
      </c>
      <c r="B11">
        <v>100</v>
      </c>
      <c r="C11" t="s">
        <v>69</v>
      </c>
      <c r="D11">
        <v>1.0999999999999999E-2</v>
      </c>
      <c r="E11" s="1" t="s">
        <v>74</v>
      </c>
      <c r="F11">
        <f>D11*F2</f>
        <v>12.122</v>
      </c>
      <c r="G11" s="1" t="s">
        <v>68</v>
      </c>
      <c r="H11" s="3">
        <f t="shared" si="1"/>
        <v>1212.2</v>
      </c>
      <c r="I11" s="3"/>
      <c r="J11" t="s">
        <v>68</v>
      </c>
      <c r="K11" s="3">
        <f t="shared" si="0"/>
        <v>1.0999999999999999</v>
      </c>
      <c r="L11" s="3"/>
      <c r="M11" t="s">
        <v>74</v>
      </c>
      <c r="N11" t="s">
        <v>16</v>
      </c>
      <c r="O11" t="s">
        <v>47</v>
      </c>
      <c r="P11" t="s">
        <v>37</v>
      </c>
      <c r="R11" s="4" t="s">
        <v>4</v>
      </c>
      <c r="S11" s="4"/>
    </row>
    <row r="12" spans="1:22">
      <c r="A12" s="2">
        <v>220</v>
      </c>
      <c r="B12">
        <v>100</v>
      </c>
      <c r="C12" t="s">
        <v>69</v>
      </c>
      <c r="D12">
        <v>1.14E-2</v>
      </c>
      <c r="E12" s="1" t="s">
        <v>74</v>
      </c>
      <c r="F12">
        <f>D12*F2</f>
        <v>12.562800000000001</v>
      </c>
      <c r="G12" s="1" t="s">
        <v>68</v>
      </c>
      <c r="H12" s="3">
        <f t="shared" si="1"/>
        <v>1256.2800000000002</v>
      </c>
      <c r="I12" s="3"/>
      <c r="J12" t="s">
        <v>68</v>
      </c>
      <c r="K12" s="3">
        <f t="shared" si="0"/>
        <v>1.1400000000000001</v>
      </c>
      <c r="L12" s="3"/>
      <c r="M12" t="s">
        <v>74</v>
      </c>
      <c r="N12" t="s">
        <v>16</v>
      </c>
      <c r="O12" t="s">
        <v>47</v>
      </c>
      <c r="P12" t="s">
        <v>37</v>
      </c>
      <c r="R12" s="4" t="s">
        <v>2</v>
      </c>
      <c r="S12" s="4"/>
    </row>
    <row r="13" spans="1:22">
      <c r="A13" t="s">
        <v>67</v>
      </c>
      <c r="B13">
        <v>100</v>
      </c>
      <c r="C13" t="s">
        <v>69</v>
      </c>
      <c r="D13">
        <v>6.6E-3</v>
      </c>
      <c r="E13" s="1" t="s">
        <v>74</v>
      </c>
      <c r="F13">
        <f>D13*F2</f>
        <v>7.2732000000000001</v>
      </c>
      <c r="G13" s="1" t="s">
        <v>68</v>
      </c>
      <c r="H13" s="3">
        <f t="shared" si="1"/>
        <v>727.32</v>
      </c>
      <c r="I13" s="3"/>
      <c r="J13" t="s">
        <v>68</v>
      </c>
      <c r="K13" s="3">
        <f t="shared" si="0"/>
        <v>0.66</v>
      </c>
      <c r="L13" s="3"/>
      <c r="M13" t="s">
        <v>74</v>
      </c>
      <c r="N13" t="s">
        <v>16</v>
      </c>
      <c r="O13" t="s">
        <v>47</v>
      </c>
      <c r="P13" t="s">
        <v>37</v>
      </c>
      <c r="R13" s="4" t="s">
        <v>10</v>
      </c>
      <c r="S13" s="4"/>
    </row>
    <row r="14" spans="1:22">
      <c r="A14" t="s">
        <v>64</v>
      </c>
      <c r="B14">
        <v>100</v>
      </c>
      <c r="C14" t="s">
        <v>69</v>
      </c>
      <c r="D14">
        <v>1.4500000000000002E-2</v>
      </c>
      <c r="E14" s="1" t="s">
        <v>74</v>
      </c>
      <c r="F14">
        <f>D14*F2</f>
        <v>15.979000000000003</v>
      </c>
      <c r="G14" s="1" t="s">
        <v>68</v>
      </c>
      <c r="H14" s="3">
        <f t="shared" si="1"/>
        <v>1597.9000000000003</v>
      </c>
      <c r="I14" s="3"/>
      <c r="J14" t="s">
        <v>68</v>
      </c>
      <c r="K14" s="3">
        <f t="shared" si="0"/>
        <v>1.4500000000000002</v>
      </c>
      <c r="L14" s="3"/>
      <c r="M14" t="s">
        <v>74</v>
      </c>
      <c r="N14" t="s">
        <v>16</v>
      </c>
      <c r="O14" t="s">
        <v>73</v>
      </c>
      <c r="P14" t="s">
        <v>37</v>
      </c>
      <c r="R14" s="4" t="s">
        <v>0</v>
      </c>
      <c r="S14" s="4"/>
    </row>
    <row r="15" spans="1:22">
      <c r="A15" t="s">
        <v>72</v>
      </c>
      <c r="B15">
        <v>100</v>
      </c>
      <c r="C15" t="s">
        <v>69</v>
      </c>
      <c r="D15">
        <v>0</v>
      </c>
      <c r="E15" s="1" t="s">
        <v>74</v>
      </c>
      <c r="F15">
        <f>D15*F2</f>
        <v>0</v>
      </c>
      <c r="G15" s="1" t="s">
        <v>68</v>
      </c>
      <c r="H15" s="3">
        <f t="shared" si="1"/>
        <v>0</v>
      </c>
      <c r="I15" s="3"/>
      <c r="J15" t="s">
        <v>68</v>
      </c>
      <c r="K15" s="3">
        <f t="shared" si="0"/>
        <v>0</v>
      </c>
      <c r="L15" s="3"/>
      <c r="M15" t="s">
        <v>74</v>
      </c>
      <c r="N15" t="s">
        <v>16</v>
      </c>
      <c r="O15" t="s">
        <v>66</v>
      </c>
      <c r="R15" s="3"/>
      <c r="S15" s="3"/>
    </row>
    <row r="16" spans="1:22">
      <c r="A16" s="2">
        <v>100</v>
      </c>
      <c r="B16">
        <v>100</v>
      </c>
      <c r="C16" t="s">
        <v>69</v>
      </c>
      <c r="D16">
        <v>1.66E-2</v>
      </c>
      <c r="E16" s="1" t="s">
        <v>74</v>
      </c>
      <c r="F16">
        <f>D16*F2</f>
        <v>18.293199999999999</v>
      </c>
      <c r="G16" s="1" t="s">
        <v>68</v>
      </c>
      <c r="H16" s="3">
        <f t="shared" si="1"/>
        <v>1829.32</v>
      </c>
      <c r="I16" s="3"/>
      <c r="J16" t="s">
        <v>68</v>
      </c>
      <c r="K16" s="3">
        <f t="shared" si="0"/>
        <v>1.66</v>
      </c>
      <c r="L16" s="3"/>
      <c r="M16" t="s">
        <v>74</v>
      </c>
      <c r="N16" t="s">
        <v>16</v>
      </c>
      <c r="O16" t="s">
        <v>73</v>
      </c>
      <c r="P16" t="s">
        <v>37</v>
      </c>
      <c r="R16" s="4" t="s">
        <v>21</v>
      </c>
      <c r="S16" s="4"/>
    </row>
    <row r="17" spans="1:19">
      <c r="A17" t="s">
        <v>12</v>
      </c>
      <c r="B17">
        <v>25</v>
      </c>
      <c r="C17" t="s">
        <v>69</v>
      </c>
      <c r="D17">
        <v>2.7391999999999999</v>
      </c>
      <c r="E17" s="1" t="s">
        <v>74</v>
      </c>
      <c r="F17">
        <f>D17*F2</f>
        <v>3018.5983999999999</v>
      </c>
      <c r="G17" s="1" t="s">
        <v>68</v>
      </c>
      <c r="H17" s="3">
        <f t="shared" si="1"/>
        <v>75464.959999999992</v>
      </c>
      <c r="I17" s="3"/>
      <c r="J17" t="s">
        <v>68</v>
      </c>
      <c r="K17" s="3">
        <f t="shared" si="0"/>
        <v>68.47999999999999</v>
      </c>
      <c r="L17" s="3"/>
      <c r="M17" t="s">
        <v>74</v>
      </c>
      <c r="N17" t="s">
        <v>17</v>
      </c>
      <c r="O17" t="s">
        <v>45</v>
      </c>
      <c r="P17" t="s">
        <v>37</v>
      </c>
      <c r="R17" s="4" t="s">
        <v>5</v>
      </c>
      <c r="S17" s="4"/>
    </row>
    <row r="18" spans="1:19">
      <c r="A18" t="s">
        <v>46</v>
      </c>
      <c r="B18">
        <v>60</v>
      </c>
      <c r="C18" t="s">
        <v>69</v>
      </c>
      <c r="D18">
        <v>2.8799999999999999E-2</v>
      </c>
      <c r="E18" s="1" t="s">
        <v>74</v>
      </c>
      <c r="F18">
        <f>D18*F2</f>
        <v>31.7376</v>
      </c>
      <c r="G18" s="1" t="s">
        <v>68</v>
      </c>
      <c r="H18" s="3">
        <f t="shared" si="1"/>
        <v>1904.2560000000001</v>
      </c>
      <c r="I18" s="3"/>
      <c r="J18" t="s">
        <v>68</v>
      </c>
      <c r="K18" s="3">
        <f t="shared" si="0"/>
        <v>1.728</v>
      </c>
      <c r="L18" s="3"/>
      <c r="M18" t="s">
        <v>74</v>
      </c>
      <c r="N18" t="s">
        <v>15</v>
      </c>
      <c r="P18" t="s">
        <v>37</v>
      </c>
      <c r="R18" s="4" t="s">
        <v>19</v>
      </c>
      <c r="S18" s="4"/>
    </row>
    <row r="19" spans="1:19">
      <c r="A19" t="s">
        <v>36</v>
      </c>
      <c r="B19">
        <v>30</v>
      </c>
      <c r="C19" t="s">
        <v>69</v>
      </c>
      <c r="D19">
        <v>8.9099999999999999E-2</v>
      </c>
      <c r="E19" s="1" t="s">
        <v>74</v>
      </c>
      <c r="F19">
        <f>D19*F2</f>
        <v>98.188199999999995</v>
      </c>
      <c r="G19" s="1" t="s">
        <v>68</v>
      </c>
      <c r="H19" s="3">
        <f t="shared" si="1"/>
        <v>2945.6459999999997</v>
      </c>
      <c r="I19" s="3"/>
      <c r="J19" t="s">
        <v>68</v>
      </c>
      <c r="K19" s="3">
        <f t="shared" si="0"/>
        <v>2.673</v>
      </c>
      <c r="L19" s="3"/>
      <c r="M19" t="s">
        <v>74</v>
      </c>
      <c r="N19" t="s">
        <v>15</v>
      </c>
      <c r="P19" t="s">
        <v>37</v>
      </c>
      <c r="R19" s="4" t="s">
        <v>20</v>
      </c>
      <c r="S19" s="4"/>
    </row>
    <row r="20" spans="1:19">
      <c r="A20" t="s">
        <v>41</v>
      </c>
      <c r="B20">
        <v>20</v>
      </c>
      <c r="C20" t="s">
        <v>69</v>
      </c>
      <c r="D20">
        <v>9.2999999999999992E-3</v>
      </c>
      <c r="E20" s="1" t="s">
        <v>74</v>
      </c>
      <c r="F20">
        <f>D20*F2</f>
        <v>10.2486</v>
      </c>
      <c r="G20" s="1" t="s">
        <v>68</v>
      </c>
      <c r="H20" s="3">
        <f t="shared" si="1"/>
        <v>204.97199999999998</v>
      </c>
      <c r="I20" s="3"/>
      <c r="J20" t="s">
        <v>68</v>
      </c>
      <c r="K20" s="3">
        <f>D20*B20</f>
        <v>0.186</v>
      </c>
      <c r="L20" s="3"/>
      <c r="M20" t="s">
        <v>74</v>
      </c>
      <c r="N20" s="3" t="s">
        <v>61</v>
      </c>
      <c r="O20" s="3"/>
      <c r="P20" t="s">
        <v>37</v>
      </c>
      <c r="R20" s="4" t="s">
        <v>25</v>
      </c>
      <c r="S20" s="4"/>
    </row>
    <row r="21" spans="1:19">
      <c r="A21" t="s">
        <v>55</v>
      </c>
      <c r="B21">
        <v>30</v>
      </c>
      <c r="C21" t="s">
        <v>69</v>
      </c>
      <c r="D21">
        <v>0.12690000000000001</v>
      </c>
      <c r="E21" s="1" t="s">
        <v>74</v>
      </c>
      <c r="F21">
        <f>D21*F2</f>
        <v>139.84380000000002</v>
      </c>
      <c r="G21" s="1" t="s">
        <v>68</v>
      </c>
      <c r="H21" s="3">
        <f t="shared" si="1"/>
        <v>4195.3140000000003</v>
      </c>
      <c r="I21" s="3"/>
      <c r="J21" t="s">
        <v>68</v>
      </c>
      <c r="K21" s="3">
        <f t="shared" si="0"/>
        <v>3.8070000000000004</v>
      </c>
      <c r="L21" s="3"/>
      <c r="M21" t="s">
        <v>74</v>
      </c>
      <c r="N21" s="3" t="s">
        <v>11</v>
      </c>
      <c r="O21" s="3"/>
      <c r="P21" t="s">
        <v>37</v>
      </c>
      <c r="R21" s="4" t="s">
        <v>6</v>
      </c>
      <c r="S21" s="4"/>
    </row>
    <row r="22" spans="1:19">
      <c r="A22" t="s">
        <v>42</v>
      </c>
      <c r="B22">
        <v>25</v>
      </c>
      <c r="C22" t="s">
        <v>69</v>
      </c>
      <c r="D22">
        <v>1.3758999999999999</v>
      </c>
      <c r="E22" s="1" t="s">
        <v>74</v>
      </c>
      <c r="F22">
        <f>D22*F2</f>
        <v>1516.2417999999998</v>
      </c>
      <c r="G22" s="1" t="s">
        <v>68</v>
      </c>
      <c r="H22" s="3">
        <f t="shared" si="1"/>
        <v>37906.044999999998</v>
      </c>
      <c r="I22" s="3"/>
      <c r="J22" t="s">
        <v>68</v>
      </c>
      <c r="K22" s="3">
        <f t="shared" si="0"/>
        <v>34.397500000000001</v>
      </c>
      <c r="L22" s="3"/>
      <c r="M22" t="s">
        <v>74</v>
      </c>
      <c r="N22" s="3" t="s">
        <v>14</v>
      </c>
      <c r="O22" s="3"/>
      <c r="P22" t="s">
        <v>37</v>
      </c>
      <c r="R22" s="4" t="s">
        <v>23</v>
      </c>
      <c r="S22" s="4"/>
    </row>
    <row r="23" spans="1:19">
      <c r="A23" t="s">
        <v>40</v>
      </c>
      <c r="B23">
        <v>20</v>
      </c>
      <c r="C23" t="s">
        <v>69</v>
      </c>
      <c r="D23">
        <v>2.69</v>
      </c>
      <c r="E23" s="1" t="s">
        <v>74</v>
      </c>
      <c r="F23">
        <f>D23*F2</f>
        <v>2964.38</v>
      </c>
      <c r="G23" s="1" t="s">
        <v>68</v>
      </c>
      <c r="H23" s="3">
        <f>B23*F23</f>
        <v>59287.600000000006</v>
      </c>
      <c r="I23" s="3"/>
      <c r="J23" t="s">
        <v>68</v>
      </c>
      <c r="K23" s="3">
        <f t="shared" si="0"/>
        <v>53.8</v>
      </c>
      <c r="L23" s="3"/>
      <c r="M23" t="s">
        <v>74</v>
      </c>
      <c r="N23" s="3" t="s">
        <v>26</v>
      </c>
      <c r="O23" s="3"/>
      <c r="P23" s="3" t="s">
        <v>53</v>
      </c>
      <c r="Q23" s="3"/>
      <c r="R23" s="4" t="s">
        <v>76</v>
      </c>
      <c r="S23" s="4"/>
    </row>
    <row r="24" spans="1:19">
      <c r="A24" t="s">
        <v>51</v>
      </c>
      <c r="B24">
        <v>20</v>
      </c>
      <c r="C24" t="s">
        <v>69</v>
      </c>
      <c r="D24">
        <v>1.4</v>
      </c>
      <c r="E24" s="1" t="s">
        <v>74</v>
      </c>
      <c r="F24">
        <f>D24*F2</f>
        <v>1542.8</v>
      </c>
      <c r="G24" s="1" t="s">
        <v>68</v>
      </c>
      <c r="H24" s="3">
        <f t="shared" si="1"/>
        <v>30856</v>
      </c>
      <c r="I24" s="3"/>
      <c r="J24" t="s">
        <v>68</v>
      </c>
      <c r="K24" s="3">
        <f t="shared" si="0"/>
        <v>28</v>
      </c>
      <c r="L24" s="3"/>
      <c r="M24" t="s">
        <v>74</v>
      </c>
      <c r="N24" s="3" t="s">
        <v>29</v>
      </c>
      <c r="O24" s="3"/>
      <c r="P24" s="3" t="s">
        <v>33</v>
      </c>
      <c r="Q24" s="3"/>
      <c r="R24" s="5" t="s">
        <v>9</v>
      </c>
      <c r="S24" s="5"/>
    </row>
    <row r="25" spans="1:19">
      <c r="A25" s="1" t="s">
        <v>75</v>
      </c>
      <c r="B25">
        <f>SUM(B3:B24)</f>
        <v>1160</v>
      </c>
      <c r="C25" t="s">
        <v>69</v>
      </c>
      <c r="D25">
        <f>SUM(D3:D24)</f>
        <v>12.654900000000001</v>
      </c>
      <c r="E25" s="1" t="s">
        <v>74</v>
      </c>
      <c r="F25">
        <f>SUM(F3:F24)</f>
        <v>13945.699799999999</v>
      </c>
      <c r="G25" s="1" t="s">
        <v>68</v>
      </c>
      <c r="H25" s="3">
        <f>SUM(H3:H24)</f>
        <v>347548.76</v>
      </c>
      <c r="I25" s="3"/>
      <c r="J25" t="s">
        <v>68</v>
      </c>
      <c r="K25" s="3">
        <f>SUM(K3:K24)</f>
        <v>315.38</v>
      </c>
      <c r="L25" s="3"/>
      <c r="M25" t="s">
        <v>74</v>
      </c>
    </row>
  </sheetData>
  <mergeCells count="88">
    <mergeCell ref="N1:O2"/>
    <mergeCell ref="P1:Q2"/>
    <mergeCell ref="R1:S2"/>
    <mergeCell ref="A1:C1"/>
    <mergeCell ref="K23:L23"/>
    <mergeCell ref="K24:L24"/>
    <mergeCell ref="H25:I25"/>
    <mergeCell ref="K25:L25"/>
    <mergeCell ref="D1:G1"/>
    <mergeCell ref="H1:J2"/>
    <mergeCell ref="K1:M2"/>
    <mergeCell ref="K18:L18"/>
    <mergeCell ref="K19:L19"/>
    <mergeCell ref="K20:L20"/>
    <mergeCell ref="K21:L21"/>
    <mergeCell ref="K22:L22"/>
    <mergeCell ref="K13:L13"/>
    <mergeCell ref="K14:L14"/>
    <mergeCell ref="K15:L15"/>
    <mergeCell ref="K16:L16"/>
    <mergeCell ref="K17:L17"/>
    <mergeCell ref="K8:L8"/>
    <mergeCell ref="K9:L9"/>
    <mergeCell ref="K10:L10"/>
    <mergeCell ref="K11:L11"/>
    <mergeCell ref="K12:L12"/>
    <mergeCell ref="K3:L3"/>
    <mergeCell ref="K4:L4"/>
    <mergeCell ref="K5:L5"/>
    <mergeCell ref="K6:L6"/>
    <mergeCell ref="K7:L7"/>
    <mergeCell ref="H20:I20"/>
    <mergeCell ref="H21:I21"/>
    <mergeCell ref="H22:I22"/>
    <mergeCell ref="H23:I23"/>
    <mergeCell ref="H24:I24"/>
    <mergeCell ref="H15:I15"/>
    <mergeCell ref="H16:I16"/>
    <mergeCell ref="H17:I17"/>
    <mergeCell ref="H18:I18"/>
    <mergeCell ref="H19:I19"/>
    <mergeCell ref="R22:S22"/>
    <mergeCell ref="R23:S23"/>
    <mergeCell ref="R24:S24"/>
    <mergeCell ref="R15:S15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R17:S17"/>
    <mergeCell ref="R18:S18"/>
    <mergeCell ref="R19:S19"/>
    <mergeCell ref="R20:S20"/>
    <mergeCell ref="R21:S21"/>
    <mergeCell ref="N24:O24"/>
    <mergeCell ref="P23:Q23"/>
    <mergeCell ref="P24:Q24"/>
    <mergeCell ref="R3:S3"/>
    <mergeCell ref="R4:S4"/>
    <mergeCell ref="R5:S5"/>
    <mergeCell ref="R6:S6"/>
    <mergeCell ref="R7:S7"/>
    <mergeCell ref="R8:S8"/>
    <mergeCell ref="R9:S9"/>
    <mergeCell ref="R10:S10"/>
    <mergeCell ref="R11:S11"/>
    <mergeCell ref="R12:S12"/>
    <mergeCell ref="R13:S13"/>
    <mergeCell ref="R14:S14"/>
    <mergeCell ref="R16:S16"/>
    <mergeCell ref="N10:O10"/>
    <mergeCell ref="N20:O20"/>
    <mergeCell ref="N21:O21"/>
    <mergeCell ref="N22:O22"/>
    <mergeCell ref="N23:O23"/>
    <mergeCell ref="N4:O4"/>
    <mergeCell ref="N5:O5"/>
    <mergeCell ref="N7:O7"/>
    <mergeCell ref="N8:O8"/>
    <mergeCell ref="N9:O9"/>
  </mergeCells>
  <phoneticPr fontId="2" type="noConversion"/>
  <hyperlinks>
    <hyperlink ref="R3:S3" r:id="rId1" display="https://lcsc.com/product-detail/ATMEL-AVR_Microchip-Tech-ATMEGA16A-PU_C30504.html" xr:uid="{00000000-0004-0000-0000-000000000000}"/>
    <hyperlink ref="R4:S4" r:id="rId2" display="https://lcsc.com/product-detail/Triac-Optocouplers_ON-Semiconductor-MOC3021M_C5242.html" xr:uid="{00000000-0004-0000-0000-000001000000}"/>
    <hyperlink ref="R5:S5" r:id="rId3" display="https://lcsc.com/product-detail/Optocouplers_Sharp-Microelectronics-PC814X1CSZ9F_C194288.html" xr:uid="{00000000-0004-0000-0000-000002000000}"/>
    <hyperlink ref="R6:S6" r:id="rId4" display="https://lcsc.com/product-detail/SMD-Crystal-Resonators_Yangxing-Tech-X49SM16MSD2SC_C12676.html" xr:uid="{00000000-0004-0000-0000-000003000000}"/>
    <hyperlink ref="R7:S7" r:id="rId5" display="https://lcsc.com/product-detail/Mylar-Capacitor_NISSEI-MMCV0630K104C000D210_C359278.html" xr:uid="{00000000-0004-0000-0000-000004000000}"/>
    <hyperlink ref="R8:S8" r:id="rId6" display="https://lcsc.com/product-detail/Aluminum-Electrolytic-Capacitors-Leaded_CX-Dongguan-Chengxing-Elec-C43823_C43823.html" xr:uid="{00000000-0004-0000-0000-000005000000}"/>
    <hyperlink ref="R10:S10" r:id="rId7" display="https://lcsc.com/product-detail/Barrier-Terminal-Blocks_Ningbo-Kangnex-Elec-HB9500-9-5-4P_C72338.html" xr:uid="{00000000-0004-0000-0000-000006000000}"/>
    <hyperlink ref="R11:S11" r:id="rId8" display="https://lcsc.com/product-detail/Metal-Film-Resistor-TH_YAGEO-MFR-25FTE52-4K7_C173023.html" xr:uid="{00000000-0004-0000-0000-000007000000}"/>
    <hyperlink ref="R12:S12" r:id="rId9" display="https://lcsc.com/product-detail/Metal-Film-Resistor-TH_YAGEO-MFR-25JT-52-220R_C176478.html" xr:uid="{00000000-0004-0000-0000-000008000000}"/>
    <hyperlink ref="R13:S13" r:id="rId10" display="https://lcsc.com/product-detail/Metal-Film-Resistor-TH_CCO-Chian-Chia-Elec-MF1-4W-10K%CE%A9-1-T52_C119347.html" xr:uid="{00000000-0004-0000-0000-000009000000}"/>
    <hyperlink ref="R14:S14" r:id="rId11" display="https://lcsc.com/product-detail/Metal-Film-Resistor-TH_UNI-ROYAL-Uniroyal-Elec-MFR01SF1001A10_C58688.html" xr:uid="{00000000-0004-0000-0000-00000A000000}"/>
    <hyperlink ref="R16:S16" r:id="rId12" display="https://lcsc.com/product-detail/Metal-Film-Resistor-TH_TyoHM-RN1WS100%CE%A9FT-BA1_C385268.html" xr:uid="{00000000-0004-0000-0000-00000B000000}"/>
    <hyperlink ref="R17:S17" r:id="rId13" display="https://lcsc.com/product-detail/Power-Module-AC-DC_HI-LINK-HLK-PM01_C209903.html" xr:uid="{00000000-0004-0000-0000-00000C000000}"/>
    <hyperlink ref="R18:S18" r:id="rId14" display="https://lcsc.com/product-detail/IC-Sockets_Ckmtw-Shenzhen-Cankemeng-ICS-6P_C146584.html" xr:uid="{00000000-0004-0000-0000-00000D000000}"/>
    <hyperlink ref="R19:S19" r:id="rId15" display="https://lcsc.com/product-detail/IC-Sockets_BOOMELE-Boom-Precision-Elec-C2332_C2332.html" xr:uid="{00000000-0004-0000-0000-00000E000000}"/>
    <hyperlink ref="R20:S20" r:id="rId16" display="https://lcsc.com/product-detail/Ceramic-Disc-Capacitors_Dersonic-CC1H200KA1PDCH4B3003_C353911.html" xr:uid="{00000000-0004-0000-0000-00000F000000}"/>
    <hyperlink ref="R21:S21" r:id="rId17" display="https://lcsc.com/product-detail/Tactile-Switches_C-K-PTS645SM502LFS_C285490.html" xr:uid="{00000000-0004-0000-0000-000010000000}"/>
    <hyperlink ref="R22:S22" r:id="rId18" display="https://lcsc.com/product-detail/Thyristors-TRIACs_STMicroelectronics-BTA41-600BRG_C9103.html" xr:uid="{00000000-0004-0000-0000-000011000000}"/>
    <hyperlink ref="R23:S23" r:id="rId19" display="http://mechasolution.com/shop/goods/goods_view.php?inflow=naverCheckout&amp;goodsno=575845&amp;NaPm=ct%3Dk0uqptmt%7Cci%3Dcheckout%7Ctr%3Dppc%7Ctrx%3D%7Chk%3Dcc1ba4b3d84e7834af73c96ed875bbc605a3c3fe" xr:uid="{00000000-0004-0000-0000-000012000000}"/>
    <hyperlink ref="R24:S24" r:id="rId20" display="https://smartstore.naver.com/ic11401/products/560078694?NaPm=ct%3Dk0uqrc4j%7Cci%3Dcheckout%7Ctr%3Dppc%7Ctrx%3D%7Chk%3Ddf9b4b6f9ed3ed94b216be99e01a828ef61e5697" xr:uid="{00000000-0004-0000-0000-000013000000}"/>
  </hyperlinks>
  <pageMargins left="0.74805557727813721" right="0.74805557727813721" top="0.98430556058883667" bottom="0.98430556058883667" header="0.51138889789581299" footer="0.51138889789581299"/>
  <pageSetup paperSize="9" fitToWidth="0" fitToHeight="0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417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rhkgk</dc:creator>
  <cp:lastModifiedBy>yongjae hong</cp:lastModifiedBy>
  <cp:revision>27</cp:revision>
  <dcterms:created xsi:type="dcterms:W3CDTF">2021-01-26T23:17:14Z</dcterms:created>
  <dcterms:modified xsi:type="dcterms:W3CDTF">2023-10-15T00:49:20Z</dcterms:modified>
  <cp:version>1100.0100.01</cp:version>
</cp:coreProperties>
</file>